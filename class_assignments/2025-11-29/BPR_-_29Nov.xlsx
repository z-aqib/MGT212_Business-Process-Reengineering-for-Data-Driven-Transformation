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 Delivery Times" sheetId="1" r:id="rId4"/>
    <sheet state="visible" name="Capturing Tesla Manufacturing P" sheetId="2" r:id="rId5"/>
  </sheets>
  <definedNames/>
  <calcPr/>
</workbook>
</file>

<file path=xl/sharedStrings.xml><?xml version="1.0" encoding="utf-8"?>
<sst xmlns="http://schemas.openxmlformats.org/spreadsheetml/2006/main" count="70" uniqueCount="70">
  <si>
    <t>Order #</t>
  </si>
  <si>
    <t>Time (min)</t>
  </si>
  <si>
    <t>Late</t>
  </si>
  <si>
    <t>What things affect the delivery here? (Fish Bone Diagram)</t>
  </si>
  <si>
    <t>Defects</t>
  </si>
  <si>
    <t>s1: order tea</t>
  </si>
  <si>
    <t>measurements</t>
  </si>
  <si>
    <t>Money taken not measured accurately</t>
  </si>
  <si>
    <t>Receipts not recorded properly</t>
  </si>
  <si>
    <t>Normal</t>
  </si>
  <si>
    <t>s2: make receipt</t>
  </si>
  <si>
    <t>people</t>
  </si>
  <si>
    <t>Lack of coordination among steps (order, pay, serve)</t>
  </si>
  <si>
    <t>Staff may be slow at the service counter</t>
  </si>
  <si>
    <t>s3: pay</t>
  </si>
  <si>
    <t>materials</t>
  </si>
  <si>
    <t>Ingredients (tea, whitener, sugar) may not be available</t>
  </si>
  <si>
    <t>Cups, teaspoons, receipts may be missing</t>
  </si>
  <si>
    <t>Low-quality ingredients leading to inconsistency.</t>
  </si>
  <si>
    <t>DPU</t>
  </si>
  <si>
    <t>s4: service counter</t>
  </si>
  <si>
    <t>environment</t>
  </si>
  <si>
    <t>Physical layout affects speed of service</t>
  </si>
  <si>
    <t>things need to be done in a certain procedure and environment</t>
  </si>
  <si>
    <t>Space constraints at counter</t>
  </si>
  <si>
    <t>DMPO</t>
  </si>
  <si>
    <t>s5: get up</t>
  </si>
  <si>
    <t>machines</t>
  </si>
  <si>
    <t>Water heater might not be functional</t>
  </si>
  <si>
    <t>Counter or workspace may not be set up efficiently</t>
  </si>
  <si>
    <t>Sigma Level</t>
  </si>
  <si>
    <t>s6: put tea + whitener + sugar</t>
  </si>
  <si>
    <t>processes</t>
  </si>
  <si>
    <t>Steps must be followed in a particular order (order → receipt → pay → serve)</t>
  </si>
  <si>
    <t>Mixing tea incorrectly</t>
  </si>
  <si>
    <t>Not providing teaspoon properly</t>
  </si>
  <si>
    <t>s7: warm water</t>
  </si>
  <si>
    <t>problems</t>
  </si>
  <si>
    <t>Resource unavailability</t>
  </si>
  <si>
    <t>Delays in warming water</t>
  </si>
  <si>
    <t>Mistakes in mixing or serving tea</t>
  </si>
  <si>
    <t>Mean</t>
  </si>
  <si>
    <t>s8: mix everything in cup</t>
  </si>
  <si>
    <t>SD</t>
  </si>
  <si>
    <t>s9: provide teaspoon</t>
  </si>
  <si>
    <t>s10: take receipt give tea</t>
  </si>
  <si>
    <t>Aluminium Coil Handling</t>
  </si>
  <si>
    <t>Start: Coil is lifted by robotic arm</t>
  </si>
  <si>
    <t>Record: Time it takes to pick up and place on uncoiling station</t>
  </si>
  <si>
    <t>Uncoiling</t>
  </si>
  <si>
    <t>Start: Coil begins uncoiling</t>
  </si>
  <si>
    <t>Record: Time until coil fully uncoiled into sheets</t>
  </si>
  <si>
    <t>Flattening</t>
  </si>
  <si>
    <t>Start: Sheet enters flattening machine</t>
  </si>
  <si>
    <t>Record: Time to achieve proper flatness</t>
  </si>
  <si>
    <t>Transfer to Next Machine</t>
  </si>
  <si>
    <t>Start: Robotic arm picks sheet to move</t>
  </si>
  <si>
    <t>Record: Time to move from one machine to another</t>
  </si>
  <si>
    <t>Secondary Uncoiling (Red Machine)</t>
  </si>
  <si>
    <t>Start: Sheet enters red machine for uncoiling</t>
  </si>
  <si>
    <t>Record: Time until sheet is ready for next process</t>
  </si>
  <si>
    <t>Flattening Before Shaping</t>
  </si>
  <si>
    <t>Start: Sheet enters second flattening</t>
  </si>
  <si>
    <t>Record: Time to flatten again</t>
  </si>
  <si>
    <t>Laser Shaping / Cutting</t>
  </si>
  <si>
    <t>Start: Laser begins cutting/shaping</t>
  </si>
  <si>
    <t>Record: Time until shaping finished</t>
  </si>
  <si>
    <t>Pressing</t>
  </si>
  <si>
    <t>Start: Sheet enters press</t>
  </si>
  <si>
    <t>Record: Time until pressing finished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</si>
</sst>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  <font>
      <b/>
      <sz val="12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4" width="8.71"/>
    <col customWidth="1" min="5" max="5" width="12.71"/>
    <col customWidth="1" min="6" max="12" width="8.71"/>
    <col customWidth="1" min="13" max="13" width="27.0"/>
    <col customWidth="1" min="14" max="14" width="8.71"/>
    <col customWidth="1" min="15" max="15" width="18.57"/>
    <col customWidth="1" min="16" max="16" width="40.0"/>
    <col customWidth="1" min="17" max="17" width="30.71"/>
    <col customWidth="1" min="18" max="18" width="24.71"/>
    <col customWidth="1" min="19" max="26" width="8.71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 t="s">
        <v>3</v>
      </c>
      <c r="P1" s="5"/>
      <c r="Q1" s="5"/>
      <c r="R1" s="6"/>
      <c r="S1" s="3"/>
      <c r="T1" s="3"/>
      <c r="U1" s="3"/>
      <c r="V1" s="3"/>
      <c r="W1" s="3"/>
      <c r="X1" s="3"/>
      <c r="Y1" s="3"/>
      <c r="Z1" s="3"/>
    </row>
    <row r="2">
      <c r="A2" s="7">
        <v>1.0</v>
      </c>
      <c r="B2" s="7">
        <v>7.0</v>
      </c>
      <c r="C2" s="7" t="str">
        <f t="shared" ref="C2:C51" si="1">IF(B2&gt;5, "Yes", "No")
</f>
        <v>Yes</v>
      </c>
      <c r="D2" s="3"/>
      <c r="E2" s="8" t="s">
        <v>4</v>
      </c>
      <c r="F2" s="9">
        <f>COUNTIF(C:C, "Yes")
</f>
        <v>28</v>
      </c>
      <c r="G2" s="3"/>
      <c r="H2" s="3"/>
      <c r="I2" s="3"/>
      <c r="J2" s="3"/>
      <c r="K2" s="3"/>
      <c r="L2" s="3"/>
      <c r="M2" s="10" t="s">
        <v>5</v>
      </c>
      <c r="N2" s="3"/>
      <c r="O2" s="11" t="s">
        <v>6</v>
      </c>
      <c r="P2" s="10" t="s">
        <v>7</v>
      </c>
      <c r="Q2" s="10" t="s">
        <v>8</v>
      </c>
      <c r="R2" s="7"/>
      <c r="S2" s="3"/>
      <c r="T2" s="3"/>
      <c r="U2" s="3"/>
      <c r="V2" s="3"/>
      <c r="W2" s="3"/>
      <c r="X2" s="3"/>
      <c r="Y2" s="3"/>
      <c r="Z2" s="3"/>
    </row>
    <row r="3">
      <c r="A3" s="7">
        <v>2.0</v>
      </c>
      <c r="B3" s="7">
        <v>4.0</v>
      </c>
      <c r="C3" s="7" t="str">
        <f t="shared" si="1"/>
        <v>No</v>
      </c>
      <c r="D3" s="3"/>
      <c r="E3" s="12" t="s">
        <v>9</v>
      </c>
      <c r="F3" s="13">
        <f>COUNTIF(C:C, "No")
</f>
        <v>22</v>
      </c>
      <c r="G3" s="3"/>
      <c r="H3" s="3"/>
      <c r="I3" s="3"/>
      <c r="J3" s="3"/>
      <c r="K3" s="3"/>
      <c r="L3" s="3"/>
      <c r="M3" s="10" t="s">
        <v>10</v>
      </c>
      <c r="N3" s="3"/>
      <c r="O3" s="11" t="s">
        <v>11</v>
      </c>
      <c r="P3" s="10" t="s">
        <v>12</v>
      </c>
      <c r="Q3" s="10" t="s">
        <v>13</v>
      </c>
      <c r="R3" s="14"/>
      <c r="S3" s="3"/>
      <c r="T3" s="3"/>
      <c r="U3" s="3"/>
      <c r="V3" s="3"/>
      <c r="W3" s="3"/>
      <c r="X3" s="3"/>
      <c r="Y3" s="3"/>
      <c r="Z3" s="3"/>
    </row>
    <row r="4">
      <c r="A4" s="7">
        <v>3.0</v>
      </c>
      <c r="B4" s="7">
        <v>6.0</v>
      </c>
      <c r="C4" s="7" t="str">
        <f t="shared" si="1"/>
        <v>Yes</v>
      </c>
      <c r="D4" s="3"/>
      <c r="E4" s="15"/>
      <c r="F4" s="16"/>
      <c r="G4" s="3"/>
      <c r="H4" s="3"/>
      <c r="I4" s="3"/>
      <c r="J4" s="3"/>
      <c r="K4" s="3"/>
      <c r="L4" s="3"/>
      <c r="M4" s="10" t="s">
        <v>14</v>
      </c>
      <c r="N4" s="3"/>
      <c r="O4" s="11" t="s">
        <v>15</v>
      </c>
      <c r="P4" s="10" t="s">
        <v>16</v>
      </c>
      <c r="Q4" s="10" t="s">
        <v>17</v>
      </c>
      <c r="R4" s="10" t="s">
        <v>18</v>
      </c>
      <c r="S4" s="3"/>
      <c r="T4" s="3"/>
      <c r="U4" s="3"/>
      <c r="V4" s="3"/>
      <c r="W4" s="3"/>
      <c r="X4" s="3"/>
      <c r="Y4" s="3"/>
      <c r="Z4" s="3"/>
    </row>
    <row r="5">
      <c r="A5" s="7">
        <v>4.0</v>
      </c>
      <c r="B5" s="7">
        <v>3.0</v>
      </c>
      <c r="C5" s="7" t="str">
        <f t="shared" si="1"/>
        <v>No</v>
      </c>
      <c r="D5" s="3"/>
      <c r="E5" s="8" t="s">
        <v>19</v>
      </c>
      <c r="F5" s="9">
        <f>F2/50</f>
        <v>0.56</v>
      </c>
      <c r="G5" s="3"/>
      <c r="H5" s="3"/>
      <c r="I5" s="3"/>
      <c r="J5" s="3"/>
      <c r="K5" s="3"/>
      <c r="L5" s="3"/>
      <c r="M5" s="10" t="s">
        <v>20</v>
      </c>
      <c r="N5" s="3"/>
      <c r="O5" s="11" t="s">
        <v>21</v>
      </c>
      <c r="P5" s="10" t="s">
        <v>22</v>
      </c>
      <c r="Q5" s="10" t="s">
        <v>23</v>
      </c>
      <c r="R5" s="10" t="s">
        <v>24</v>
      </c>
      <c r="S5" s="3"/>
      <c r="T5" s="3"/>
      <c r="U5" s="3"/>
      <c r="V5" s="3"/>
      <c r="W5" s="3"/>
      <c r="X5" s="3"/>
      <c r="Y5" s="3"/>
      <c r="Z5" s="3"/>
    </row>
    <row r="6">
      <c r="A6" s="7">
        <v>5.0</v>
      </c>
      <c r="B6" s="7">
        <v>8.0</v>
      </c>
      <c r="C6" s="7" t="str">
        <f t="shared" si="1"/>
        <v>Yes</v>
      </c>
      <c r="D6" s="3"/>
      <c r="E6" s="17" t="s">
        <v>25</v>
      </c>
      <c r="F6" s="18">
        <f>F5*1000000</f>
        <v>560000</v>
      </c>
      <c r="G6" s="3"/>
      <c r="H6" s="3"/>
      <c r="I6" s="3"/>
      <c r="J6" s="3"/>
      <c r="K6" s="3"/>
      <c r="L6" s="3"/>
      <c r="M6" s="10" t="s">
        <v>26</v>
      </c>
      <c r="N6" s="3"/>
      <c r="O6" s="11" t="s">
        <v>27</v>
      </c>
      <c r="P6" s="10" t="s">
        <v>28</v>
      </c>
      <c r="Q6" s="10" t="s">
        <v>29</v>
      </c>
      <c r="R6" s="7"/>
      <c r="S6" s="3"/>
      <c r="T6" s="3"/>
      <c r="U6" s="3"/>
      <c r="V6" s="3"/>
      <c r="W6" s="3"/>
      <c r="X6" s="3"/>
      <c r="Y6" s="3"/>
      <c r="Z6" s="3"/>
    </row>
    <row r="7">
      <c r="A7" s="7">
        <v>6.0</v>
      </c>
      <c r="B7" s="7">
        <v>5.0</v>
      </c>
      <c r="C7" s="7" t="str">
        <f t="shared" si="1"/>
        <v>No</v>
      </c>
      <c r="D7" s="3"/>
      <c r="E7" s="12" t="s">
        <v>30</v>
      </c>
      <c r="F7" s="19">
        <v>1.3</v>
      </c>
      <c r="G7" s="3"/>
      <c r="H7" s="3"/>
      <c r="I7" s="3"/>
      <c r="J7" s="3"/>
      <c r="K7" s="3"/>
      <c r="L7" s="3"/>
      <c r="M7" s="10" t="s">
        <v>31</v>
      </c>
      <c r="N7" s="3"/>
      <c r="O7" s="11" t="s">
        <v>32</v>
      </c>
      <c r="P7" s="10" t="s">
        <v>33</v>
      </c>
      <c r="Q7" s="10" t="s">
        <v>34</v>
      </c>
      <c r="R7" s="10" t="s">
        <v>35</v>
      </c>
      <c r="S7" s="3"/>
      <c r="T7" s="3"/>
      <c r="U7" s="3"/>
      <c r="V7" s="3"/>
      <c r="W7" s="3"/>
      <c r="X7" s="3"/>
      <c r="Y7" s="3"/>
      <c r="Z7" s="3"/>
    </row>
    <row r="8">
      <c r="A8" s="7">
        <v>7.0</v>
      </c>
      <c r="B8" s="7">
        <v>6.0</v>
      </c>
      <c r="C8" s="7" t="str">
        <f t="shared" si="1"/>
        <v>Yes</v>
      </c>
      <c r="D8" s="3"/>
      <c r="E8" s="15"/>
      <c r="F8" s="16"/>
      <c r="G8" s="3"/>
      <c r="H8" s="3"/>
      <c r="I8" s="3"/>
      <c r="J8" s="3"/>
      <c r="K8" s="3"/>
      <c r="L8" s="3"/>
      <c r="M8" s="10" t="s">
        <v>36</v>
      </c>
      <c r="N8" s="3"/>
      <c r="O8" s="11" t="s">
        <v>37</v>
      </c>
      <c r="P8" s="10" t="s">
        <v>38</v>
      </c>
      <c r="Q8" s="10" t="s">
        <v>39</v>
      </c>
      <c r="R8" s="10" t="s">
        <v>40</v>
      </c>
      <c r="S8" s="3"/>
      <c r="T8" s="3"/>
      <c r="U8" s="3"/>
      <c r="V8" s="3"/>
      <c r="W8" s="3"/>
      <c r="X8" s="3"/>
      <c r="Y8" s="3"/>
      <c r="Z8" s="3"/>
    </row>
    <row r="9">
      <c r="A9" s="7">
        <v>8.0</v>
      </c>
      <c r="B9" s="7">
        <v>4.0</v>
      </c>
      <c r="C9" s="7" t="str">
        <f t="shared" si="1"/>
        <v>No</v>
      </c>
      <c r="D9" s="3"/>
      <c r="E9" s="8" t="s">
        <v>41</v>
      </c>
      <c r="F9" s="9">
        <f>AVERAGE(B2:B51)</f>
        <v>5.68</v>
      </c>
      <c r="G9" s="3"/>
      <c r="H9" s="3"/>
      <c r="I9" s="3"/>
      <c r="J9" s="3"/>
      <c r="K9" s="3"/>
      <c r="L9" s="3"/>
      <c r="M9" s="10" t="s">
        <v>42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9.0</v>
      </c>
      <c r="B10" s="7">
        <v>7.0</v>
      </c>
      <c r="C10" s="7" t="str">
        <f t="shared" si="1"/>
        <v>Yes</v>
      </c>
      <c r="D10" s="3"/>
      <c r="E10" s="12" t="s">
        <v>43</v>
      </c>
      <c r="F10" s="13">
        <f>STDEV(B2:B52)</f>
        <v>1.789310664</v>
      </c>
      <c r="G10" s="3"/>
      <c r="H10" s="3"/>
      <c r="I10" s="3"/>
      <c r="J10" s="3"/>
      <c r="K10" s="3"/>
      <c r="L10" s="3"/>
      <c r="M10" s="10" t="s">
        <v>44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10.0</v>
      </c>
      <c r="B11" s="7">
        <v>9.0</v>
      </c>
      <c r="C11" s="7" t="str">
        <f t="shared" si="1"/>
        <v>Yes</v>
      </c>
      <c r="D11" s="3"/>
      <c r="E11" s="3"/>
      <c r="F11" s="3"/>
      <c r="G11" s="3"/>
      <c r="H11" s="3"/>
      <c r="I11" s="3"/>
      <c r="J11" s="3"/>
      <c r="K11" s="3"/>
      <c r="L11" s="3"/>
      <c r="M11" s="10" t="s">
        <v>45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11.0</v>
      </c>
      <c r="B12" s="7">
        <v>3.0</v>
      </c>
      <c r="C12" s="7" t="str">
        <f t="shared" si="1"/>
        <v>No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12.0</v>
      </c>
      <c r="B13" s="7">
        <v>4.0</v>
      </c>
      <c r="C13" s="7" t="str">
        <f t="shared" si="1"/>
        <v>No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13.0</v>
      </c>
      <c r="B14" s="7">
        <v>6.0</v>
      </c>
      <c r="C14" s="7" t="str">
        <f t="shared" si="1"/>
        <v>Yes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14.0</v>
      </c>
      <c r="B15" s="7">
        <v>7.0</v>
      </c>
      <c r="C15" s="7" t="str">
        <f t="shared" si="1"/>
        <v>Yes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15.0</v>
      </c>
      <c r="B16" s="7">
        <v>5.0</v>
      </c>
      <c r="C16" s="7" t="str">
        <f t="shared" si="1"/>
        <v>No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16.0</v>
      </c>
      <c r="B17" s="7">
        <v>8.0</v>
      </c>
      <c r="C17" s="7" t="str">
        <f t="shared" si="1"/>
        <v>Yes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>
        <v>17.0</v>
      </c>
      <c r="B18" s="7">
        <v>4.0</v>
      </c>
      <c r="C18" s="7" t="str">
        <f t="shared" si="1"/>
        <v>No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>
        <v>18.0</v>
      </c>
      <c r="B19" s="7">
        <v>6.0</v>
      </c>
      <c r="C19" s="7" t="str">
        <f t="shared" si="1"/>
        <v>Yes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>
        <v>19.0</v>
      </c>
      <c r="B20" s="7">
        <v>3.0</v>
      </c>
      <c r="C20" s="7" t="str">
        <f t="shared" si="1"/>
        <v>No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>
        <v>20.0</v>
      </c>
      <c r="B21" s="7">
        <v>7.0</v>
      </c>
      <c r="C21" s="7" t="str">
        <f t="shared" si="1"/>
        <v>Yes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>
        <v>21.0</v>
      </c>
      <c r="B22" s="7">
        <v>5.0</v>
      </c>
      <c r="C22" s="7" t="str">
        <f t="shared" si="1"/>
        <v>No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>
        <v>22.0</v>
      </c>
      <c r="B23" s="7">
        <v>6.0</v>
      </c>
      <c r="C23" s="7" t="str">
        <f t="shared" si="1"/>
        <v>Yes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>
        <v>23.0</v>
      </c>
      <c r="B24" s="7">
        <v>9.0</v>
      </c>
      <c r="C24" s="7" t="str">
        <f t="shared" si="1"/>
        <v>Yes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>
        <v>24.0</v>
      </c>
      <c r="B25" s="7">
        <v>4.0</v>
      </c>
      <c r="C25" s="7" t="str">
        <f t="shared" si="1"/>
        <v>No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>
        <v>25.0</v>
      </c>
      <c r="B26" s="7">
        <v>7.0</v>
      </c>
      <c r="C26" s="7" t="str">
        <f t="shared" si="1"/>
        <v>Yes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>
        <v>26.0</v>
      </c>
      <c r="B27" s="7">
        <v>3.0</v>
      </c>
      <c r="C27" s="7" t="str">
        <f t="shared" si="1"/>
        <v>No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>
        <v>27.0</v>
      </c>
      <c r="B28" s="7">
        <v>6.0</v>
      </c>
      <c r="C28" s="7" t="str">
        <f t="shared" si="1"/>
        <v>Yes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>
        <v>28.0</v>
      </c>
      <c r="B29" s="7">
        <v>5.0</v>
      </c>
      <c r="C29" s="7" t="str">
        <f t="shared" si="1"/>
        <v>No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>
        <v>29.0</v>
      </c>
      <c r="B30" s="7">
        <v>8.0</v>
      </c>
      <c r="C30" s="7" t="str">
        <f t="shared" si="1"/>
        <v>Yes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>
        <v>30.0</v>
      </c>
      <c r="B31" s="7">
        <v>7.0</v>
      </c>
      <c r="C31" s="7" t="str">
        <f t="shared" si="1"/>
        <v>Yes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>
        <v>31.0</v>
      </c>
      <c r="B32" s="7">
        <v>4.0</v>
      </c>
      <c r="C32" s="7" t="str">
        <f t="shared" si="1"/>
        <v>No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>
        <v>32.0</v>
      </c>
      <c r="B33" s="7">
        <v>3.0</v>
      </c>
      <c r="C33" s="7" t="str">
        <f t="shared" si="1"/>
        <v>No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>
        <v>33.0</v>
      </c>
      <c r="B34" s="7">
        <v>6.0</v>
      </c>
      <c r="C34" s="7" t="str">
        <f t="shared" si="1"/>
        <v>Yes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>
        <v>34.0</v>
      </c>
      <c r="B35" s="7">
        <v>7.0</v>
      </c>
      <c r="C35" s="7" t="str">
        <f t="shared" si="1"/>
        <v>Yes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>
        <v>35.0</v>
      </c>
      <c r="B36" s="7">
        <v>9.0</v>
      </c>
      <c r="C36" s="7" t="str">
        <f t="shared" si="1"/>
        <v>Yes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>
        <v>36.0</v>
      </c>
      <c r="B37" s="7">
        <v>5.0</v>
      </c>
      <c r="C37" s="7" t="str">
        <f t="shared" si="1"/>
        <v>No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>
        <v>37.0</v>
      </c>
      <c r="B38" s="7">
        <v>6.0</v>
      </c>
      <c r="C38" s="7" t="str">
        <f t="shared" si="1"/>
        <v>Yes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>
        <v>38.0</v>
      </c>
      <c r="B39" s="7">
        <v>4.0</v>
      </c>
      <c r="C39" s="7" t="str">
        <f t="shared" si="1"/>
        <v>No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>
        <v>39.0</v>
      </c>
      <c r="B40" s="7">
        <v>7.0</v>
      </c>
      <c r="C40" s="7" t="str">
        <f t="shared" si="1"/>
        <v>Yes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>
        <v>40.0</v>
      </c>
      <c r="B41" s="7">
        <v>3.0</v>
      </c>
      <c r="C41" s="7" t="str">
        <f t="shared" si="1"/>
        <v>No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>
        <v>41.0</v>
      </c>
      <c r="B42" s="7">
        <v>8.0</v>
      </c>
      <c r="C42" s="7" t="str">
        <f t="shared" si="1"/>
        <v>Yes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>
        <v>42.0</v>
      </c>
      <c r="B43" s="7">
        <v>6.0</v>
      </c>
      <c r="C43" s="7" t="str">
        <f t="shared" si="1"/>
        <v>Yes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>
        <v>43.0</v>
      </c>
      <c r="B44" s="7">
        <v>5.0</v>
      </c>
      <c r="C44" s="7" t="str">
        <f t="shared" si="1"/>
        <v>No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>
        <v>44.0</v>
      </c>
      <c r="B45" s="7">
        <v>7.0</v>
      </c>
      <c r="C45" s="7" t="str">
        <f t="shared" si="1"/>
        <v>Yes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>
        <v>45.0</v>
      </c>
      <c r="B46" s="7">
        <v>4.0</v>
      </c>
      <c r="C46" s="7" t="str">
        <f t="shared" si="1"/>
        <v>No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>
        <v>46.0</v>
      </c>
      <c r="B47" s="7">
        <v>6.0</v>
      </c>
      <c r="C47" s="7" t="str">
        <f t="shared" si="1"/>
        <v>Yes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>
        <v>47.0</v>
      </c>
      <c r="B48" s="7">
        <v>3.0</v>
      </c>
      <c r="C48" s="7" t="str">
        <f t="shared" si="1"/>
        <v>No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>
        <v>48.0</v>
      </c>
      <c r="B49" s="7">
        <v>8.0</v>
      </c>
      <c r="C49" s="7" t="str">
        <f t="shared" si="1"/>
        <v>Yes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>
        <v>49.0</v>
      </c>
      <c r="B50" s="7">
        <v>7.0</v>
      </c>
      <c r="C50" s="7" t="str">
        <f t="shared" si="1"/>
        <v>Yes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>
        <v>50.0</v>
      </c>
      <c r="B51" s="7">
        <v>4.0</v>
      </c>
      <c r="C51" s="7" t="str">
        <f t="shared" si="1"/>
        <v>No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O1:R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0" t="s">
        <v>46</v>
      </c>
    </row>
    <row r="3">
      <c r="A3" s="21" t="s">
        <v>47</v>
      </c>
    </row>
    <row r="4">
      <c r="A4" s="21" t="s">
        <v>48</v>
      </c>
    </row>
    <row r="6">
      <c r="A6" s="20" t="s">
        <v>49</v>
      </c>
    </row>
    <row r="7">
      <c r="A7" s="21" t="s">
        <v>50</v>
      </c>
    </row>
    <row r="8">
      <c r="A8" s="21" t="s">
        <v>51</v>
      </c>
    </row>
    <row r="10">
      <c r="A10" s="20" t="s">
        <v>52</v>
      </c>
    </row>
    <row r="11">
      <c r="A11" s="21" t="s">
        <v>53</v>
      </c>
    </row>
    <row r="12">
      <c r="A12" s="21" t="s">
        <v>54</v>
      </c>
    </row>
    <row r="14">
      <c r="A14" s="20" t="s">
        <v>55</v>
      </c>
    </row>
    <row r="15">
      <c r="A15" s="21" t="s">
        <v>56</v>
      </c>
    </row>
    <row r="16">
      <c r="A16" s="21" t="s">
        <v>57</v>
      </c>
    </row>
    <row r="18">
      <c r="A18" s="20" t="s">
        <v>58</v>
      </c>
    </row>
    <row r="19">
      <c r="A19" s="21" t="s">
        <v>59</v>
      </c>
    </row>
    <row r="20">
      <c r="A20" s="21" t="s">
        <v>60</v>
      </c>
    </row>
    <row r="22">
      <c r="A22" s="20" t="s">
        <v>61</v>
      </c>
    </row>
    <row r="23">
      <c r="A23" s="21" t="s">
        <v>62</v>
      </c>
    </row>
    <row r="24">
      <c r="A24" s="21" t="s">
        <v>63</v>
      </c>
    </row>
    <row r="26">
      <c r="A26" s="20" t="s">
        <v>64</v>
      </c>
    </row>
    <row r="27">
      <c r="A27" s="21" t="s">
        <v>65</v>
      </c>
    </row>
    <row r="28">
      <c r="A28" s="21" t="s">
        <v>66</v>
      </c>
    </row>
    <row r="30">
      <c r="A30" s="20" t="s">
        <v>67</v>
      </c>
    </row>
    <row r="31">
      <c r="A31" s="21" t="s">
        <v>68</v>
      </c>
    </row>
    <row r="32">
      <c r="A32" s="21" t="s">
        <v>69</v>
      </c>
    </row>
  </sheetData>
  <drawing r:id="rId1"/>
</worksheet>
</file>